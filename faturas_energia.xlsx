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Moreira\Desktop\dashboard_neoenergia\"/>
    </mc:Choice>
  </mc:AlternateContent>
  <xr:revisionPtr revIDLastSave="0" documentId="13_ncr:1_{C47FA9D8-1F6E-4F26-B6AC-F7C20DA86568}" xr6:coauthVersionLast="36" xr6:coauthVersionMax="36" xr10:uidLastSave="{00000000-0000-0000-0000-000000000000}"/>
  <bookViews>
    <workbookView xWindow="0" yWindow="0" windowWidth="23040" windowHeight="8940" activeTab="4" xr2:uid="{EA5C4C72-E908-4E17-BFDC-E4C331D0BD67}"/>
  </bookViews>
  <sheets>
    <sheet name="JUNHO" sheetId="1" r:id="rId1"/>
    <sheet name="JULHO" sheetId="2" r:id="rId2"/>
    <sheet name="AGOSTO" sheetId="3" r:id="rId3"/>
    <sheet name="SETEMBRO" sheetId="4" r:id="rId4"/>
    <sheet name="TOTA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F4" i="4"/>
  <c r="H4" i="4" s="1"/>
  <c r="I4" i="4" s="1"/>
  <c r="G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F4" i="1"/>
  <c r="H4" i="1" s="1"/>
  <c r="I4" i="1" s="1"/>
  <c r="E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J2" i="5" l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de Lucena Moreira</author>
  </authors>
  <commentList>
    <comment ref="F4" authorId="0" shapeId="0" xr:uid="{3C97A479-30C1-40EA-B194-441021C737E3}">
      <text>
        <r>
          <rPr>
            <b/>
            <sz val="9"/>
            <color indexed="81"/>
            <rFont val="Segoe UI"/>
            <family val="2"/>
          </rPr>
          <t>Lucas de Lucena Moreira:</t>
        </r>
        <r>
          <rPr>
            <sz val="9"/>
            <color indexed="81"/>
            <rFont val="Segoe UI"/>
            <family val="2"/>
          </rPr>
          <t xml:space="preserve">
Entrou 16.745,99 no mês de Outubro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de Lucena Moreira</author>
  </authors>
  <commentList>
    <comment ref="F4" authorId="0" shapeId="0" xr:uid="{000895AD-B054-4686-B5FE-D6132CB5894B}">
      <text>
        <r>
          <rPr>
            <b/>
            <sz val="9"/>
            <color indexed="81"/>
            <rFont val="Segoe UI"/>
            <family val="2"/>
          </rPr>
          <t>Lucas de Lucena Moreira:</t>
        </r>
        <r>
          <rPr>
            <sz val="9"/>
            <color indexed="81"/>
            <rFont val="Segoe UI"/>
            <family val="2"/>
          </rPr>
          <t xml:space="preserve">
Entrou 808.263,10 no mês de Outubro</t>
        </r>
      </text>
    </comment>
  </commentList>
</comments>
</file>

<file path=xl/sharedStrings.xml><?xml version="1.0" encoding="utf-8"?>
<sst xmlns="http://schemas.openxmlformats.org/spreadsheetml/2006/main" count="31" uniqueCount="15">
  <si>
    <t>JUNHO</t>
  </si>
  <si>
    <t>JULHO</t>
  </si>
  <si>
    <t>AGOSTO</t>
  </si>
  <si>
    <t>SETEMBRO</t>
  </si>
  <si>
    <t>NOTA</t>
  </si>
  <si>
    <t>VALOR TOTAL PROVISIONADO</t>
  </si>
  <si>
    <t>VALOR COM A REVERSÃO</t>
  </si>
  <si>
    <t>BRUTO</t>
  </si>
  <si>
    <t>LÍQUIDO</t>
  </si>
  <si>
    <t>COMPLEMENTO</t>
  </si>
  <si>
    <t>COMPLEMENTO TOTAL</t>
  </si>
  <si>
    <t>TOTAL PROVISIONADO</t>
  </si>
  <si>
    <t>PROVISIONADO COM REVERSÃO</t>
  </si>
  <si>
    <t>OUTUBRO TOTAL</t>
  </si>
  <si>
    <t>PEDIDO: 4700095437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</si>
</sst>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44" fontId="3" fillId="0" borderId="1" xfId="2" applyFont="1" applyBorder="1"/>
    <xf numFmtId="0" fontId="3" fillId="0" borderId="1" xfId="2" applyNumberFormat="1" applyFont="1" applyFill="1" applyBorder="1" applyAlignment="1">
      <alignment horizontal="center"/>
    </xf>
    <xf numFmtId="44" fontId="3" fillId="0" borderId="0" xfId="2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3" borderId="1" xfId="2" applyFont="1" applyFill="1" applyBorder="1"/>
    <xf numFmtId="0" fontId="3" fillId="3" borderId="1" xfId="0" applyFont="1" applyFill="1" applyBorder="1" applyAlignment="1">
      <alignment horizontal="center"/>
    </xf>
    <xf numFmtId="44" fontId="3" fillId="0" borderId="1" xfId="2" applyFont="1" applyFill="1" applyBorder="1"/>
    <xf numFmtId="0" fontId="3" fillId="0" borderId="1" xfId="0" applyFont="1" applyFill="1" applyBorder="1"/>
    <xf numFmtId="0" fontId="3" fillId="3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0" xfId="0" applyNumberFormat="1" applyFont="1" applyFill="1"/>
    <xf numFmtId="44" fontId="3" fillId="0" borderId="0" xfId="2" applyFont="1" applyFill="1" applyBorder="1"/>
    <xf numFmtId="4" fontId="3" fillId="0" borderId="0" xfId="0" applyNumberFormat="1" applyFont="1" applyFill="1"/>
    <xf numFmtId="44" fontId="3" fillId="0" borderId="0" xfId="0" applyNumberFormat="1" applyFont="1" applyFill="1"/>
    <xf numFmtId="44" fontId="3" fillId="0" borderId="0" xfId="2" applyFont="1"/>
    <xf numFmtId="44" fontId="5" fillId="4" borderId="1" xfId="2" applyFont="1" applyFill="1" applyBorder="1" applyAlignment="1">
      <alignment horizontal="center" vertical="center"/>
    </xf>
    <xf numFmtId="44" fontId="3" fillId="4" borderId="1" xfId="2" applyFont="1" applyFill="1" applyBorder="1"/>
    <xf numFmtId="164" fontId="5" fillId="4" borderId="1" xfId="1" applyNumberFormat="1" applyFont="1" applyFill="1" applyBorder="1" applyAlignment="1">
      <alignment horizontal="center" vertical="center"/>
    </xf>
    <xf numFmtId="8" fontId="3" fillId="4" borderId="1" xfId="0" applyNumberFormat="1" applyFont="1" applyFill="1" applyBorder="1"/>
    <xf numFmtId="0" fontId="3" fillId="3" borderId="1" xfId="0" applyFont="1" applyFill="1" applyBorder="1"/>
    <xf numFmtId="44" fontId="3" fillId="5" borderId="1" xfId="2" applyFont="1" applyFill="1" applyBorder="1"/>
    <xf numFmtId="0" fontId="3" fillId="5" borderId="1" xfId="0" applyFont="1" applyFill="1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5" borderId="2" xfId="2" applyFont="1" applyFill="1" applyBorder="1" applyAlignment="1">
      <alignment horizontal="center"/>
    </xf>
    <xf numFmtId="44" fontId="3" fillId="5" borderId="3" xfId="2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1" xfId="2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/>
    </xf>
    <xf numFmtId="44" fontId="2" fillId="3" borderId="3" xfId="2" applyFont="1" applyFill="1" applyBorder="1" applyAlignment="1">
      <alignment horizontal="center"/>
    </xf>
    <xf numFmtId="44" fontId="2" fillId="5" borderId="2" xfId="2" applyFont="1" applyFill="1" applyBorder="1" applyAlignment="1">
      <alignment horizontal="center"/>
    </xf>
    <xf numFmtId="44" fontId="2" fillId="5" borderId="3" xfId="2" applyFont="1" applyFill="1" applyBorder="1" applyAlignment="1">
      <alignment horizontal="center"/>
    </xf>
    <xf numFmtId="44" fontId="6" fillId="2" borderId="1" xfId="2" applyFont="1" applyFill="1" applyBorder="1" applyAlignment="1">
      <alignment horizontal="center"/>
    </xf>
    <xf numFmtId="44" fontId="2" fillId="4" borderId="1" xfId="2" applyFont="1" applyFill="1" applyBorder="1" applyAlignment="1">
      <alignment horizont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B9E9-A7C0-4C62-A939-46257D41514F}">
  <dimension ref="A1:I24"/>
  <sheetViews>
    <sheetView zoomScaleNormal="100" workbookViewId="0">
      <selection activeCell="E22" sqref="E22"/>
    </sheetView>
  </sheetViews>
  <sheetFormatPr defaultColWidth="12.6640625" defaultRowHeight="14.4" x14ac:dyDescent="0.3"/>
  <cols>
    <col min="1" max="2" width="17.6640625" style="1" bestFit="1" customWidth="1"/>
    <col min="3" max="3" width="8.77734375" style="16" bestFit="1" customWidth="1"/>
    <col min="4" max="5" width="15.109375" style="2" bestFit="1" customWidth="1"/>
    <col min="6" max="7" width="14" style="2" bestFit="1" customWidth="1"/>
    <col min="8" max="9" width="15.109375" style="2" bestFit="1" customWidth="1"/>
    <col min="10" max="16384" width="12.6640625" style="1"/>
  </cols>
  <sheetData>
    <row r="1" spans="1:9" ht="18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s="2" customFormat="1" x14ac:dyDescent="0.3">
      <c r="A2" s="29" t="s">
        <v>14</v>
      </c>
      <c r="B2" s="29"/>
      <c r="C2" s="29"/>
      <c r="D2" s="29"/>
      <c r="E2" s="29"/>
      <c r="F2" s="29"/>
      <c r="G2" s="29"/>
      <c r="H2" s="29"/>
      <c r="I2" s="29"/>
    </row>
    <row r="3" spans="1:9" x14ac:dyDescent="0.3">
      <c r="A3" s="3" t="s">
        <v>7</v>
      </c>
      <c r="B3" s="3" t="s">
        <v>8</v>
      </c>
      <c r="C3" s="4" t="s">
        <v>4</v>
      </c>
      <c r="D3" s="30" t="s">
        <v>5</v>
      </c>
      <c r="E3" s="31"/>
      <c r="F3" s="32" t="s">
        <v>13</v>
      </c>
      <c r="G3" s="33"/>
      <c r="H3" s="34" t="s">
        <v>6</v>
      </c>
      <c r="I3" s="35"/>
    </row>
    <row r="4" spans="1:9" x14ac:dyDescent="0.3">
      <c r="A4" s="5">
        <v>787090</v>
      </c>
      <c r="B4" s="5">
        <f>A4*(1-9.25%)</f>
        <v>714284.17499999993</v>
      </c>
      <c r="C4" s="6">
        <v>2907952</v>
      </c>
      <c r="D4" s="21">
        <v>140000</v>
      </c>
      <c r="E4" s="22">
        <f>D4*(1-9.25%)</f>
        <v>127050</v>
      </c>
      <c r="F4" s="10">
        <f>SUM(A9:A15)</f>
        <v>16745.989999999998</v>
      </c>
      <c r="G4" s="10">
        <f>SUM(B9:B15)</f>
        <v>15196.985924999999</v>
      </c>
      <c r="H4" s="26">
        <f>D4-F4</f>
        <v>123254.01000000001</v>
      </c>
      <c r="I4" s="26">
        <f>H4*(1-9.25%)</f>
        <v>111853.014075</v>
      </c>
    </row>
    <row r="5" spans="1:9" x14ac:dyDescent="0.3">
      <c r="A5" s="5">
        <v>1031.8699999999999</v>
      </c>
      <c r="B5" s="5">
        <f t="shared" ref="B5:B7" si="0">A5*(1-9.25%)</f>
        <v>936.42202499999985</v>
      </c>
      <c r="C5" s="6">
        <v>3266222</v>
      </c>
      <c r="D5" s="7"/>
      <c r="E5" s="7"/>
      <c r="F5" s="7"/>
      <c r="G5" s="7"/>
      <c r="H5" s="7"/>
      <c r="I5" s="7"/>
    </row>
    <row r="6" spans="1:9" x14ac:dyDescent="0.3">
      <c r="A6" s="5">
        <v>110.42</v>
      </c>
      <c r="B6" s="5">
        <f t="shared" si="0"/>
        <v>100.20614999999999</v>
      </c>
      <c r="C6" s="6">
        <v>3204036</v>
      </c>
      <c r="D6" s="7"/>
      <c r="E6" s="7"/>
      <c r="F6" s="7"/>
      <c r="G6" s="7"/>
      <c r="H6" s="7"/>
      <c r="I6" s="7"/>
    </row>
    <row r="7" spans="1:9" x14ac:dyDescent="0.3">
      <c r="A7" s="5">
        <v>2689.5</v>
      </c>
      <c r="B7" s="5">
        <f t="shared" si="0"/>
        <v>2440.7212500000001</v>
      </c>
      <c r="C7" s="6">
        <v>2035439</v>
      </c>
      <c r="D7" s="7"/>
      <c r="E7" s="7"/>
      <c r="F7" s="7"/>
      <c r="G7" s="7"/>
      <c r="H7" s="7"/>
      <c r="I7" s="7"/>
    </row>
    <row r="8" spans="1:9" x14ac:dyDescent="0.3">
      <c r="A8" s="5">
        <v>14245.51</v>
      </c>
      <c r="B8" s="5">
        <f>A8*(1-9.25%)</f>
        <v>12927.800325</v>
      </c>
      <c r="C8" s="6">
        <v>6068973</v>
      </c>
      <c r="D8" s="7"/>
      <c r="E8" s="7"/>
      <c r="F8" s="7"/>
      <c r="G8" s="7"/>
      <c r="H8" s="7"/>
      <c r="I8" s="7"/>
    </row>
    <row r="9" spans="1:9" x14ac:dyDescent="0.3">
      <c r="A9" s="10">
        <v>1168.99</v>
      </c>
      <c r="B9" s="10">
        <f t="shared" ref="B9:B23" si="1">A9*(1-9.25%)</f>
        <v>1060.8584249999999</v>
      </c>
      <c r="C9" s="14">
        <v>7422334</v>
      </c>
    </row>
    <row r="10" spans="1:9" x14ac:dyDescent="0.3">
      <c r="A10" s="10">
        <v>191.28</v>
      </c>
      <c r="B10" s="10">
        <f t="shared" si="1"/>
        <v>173.5866</v>
      </c>
      <c r="C10" s="14">
        <v>7422335</v>
      </c>
    </row>
    <row r="11" spans="1:9" x14ac:dyDescent="0.3">
      <c r="A11" s="10">
        <v>335.44</v>
      </c>
      <c r="B11" s="10">
        <f t="shared" si="1"/>
        <v>304.41179999999997</v>
      </c>
      <c r="C11" s="14">
        <v>7437433</v>
      </c>
    </row>
    <row r="12" spans="1:9" x14ac:dyDescent="0.3">
      <c r="A12" s="10">
        <v>229.24</v>
      </c>
      <c r="B12" s="10">
        <f t="shared" si="1"/>
        <v>208.03530000000001</v>
      </c>
      <c r="C12" s="14">
        <v>7422333</v>
      </c>
    </row>
    <row r="13" spans="1:9" x14ac:dyDescent="0.3">
      <c r="A13" s="10">
        <v>118.04</v>
      </c>
      <c r="B13" s="10">
        <f t="shared" si="1"/>
        <v>107.12130000000001</v>
      </c>
      <c r="C13" s="14">
        <v>7422332</v>
      </c>
    </row>
    <row r="14" spans="1:9" x14ac:dyDescent="0.3">
      <c r="A14" s="10">
        <v>82.85</v>
      </c>
      <c r="B14" s="10">
        <f t="shared" si="1"/>
        <v>75.186374999999998</v>
      </c>
      <c r="C14" s="14">
        <v>7422336</v>
      </c>
    </row>
    <row r="15" spans="1:9" x14ac:dyDescent="0.3">
      <c r="A15" s="10">
        <v>14620.15</v>
      </c>
      <c r="B15" s="10">
        <f t="shared" si="1"/>
        <v>13267.786124999999</v>
      </c>
      <c r="C15" s="14">
        <v>7422337</v>
      </c>
    </row>
    <row r="16" spans="1:9" x14ac:dyDescent="0.3">
      <c r="A16" s="12"/>
      <c r="B16" s="12">
        <f t="shared" si="1"/>
        <v>0</v>
      </c>
      <c r="C16" s="15"/>
    </row>
    <row r="17" spans="1:3" x14ac:dyDescent="0.3">
      <c r="A17" s="12"/>
      <c r="B17" s="12">
        <f t="shared" si="1"/>
        <v>0</v>
      </c>
      <c r="C17" s="15"/>
    </row>
    <row r="18" spans="1:3" x14ac:dyDescent="0.3">
      <c r="A18" s="12"/>
      <c r="B18" s="12">
        <f t="shared" si="1"/>
        <v>0</v>
      </c>
      <c r="C18" s="15"/>
    </row>
    <row r="19" spans="1:3" x14ac:dyDescent="0.3">
      <c r="A19" s="12"/>
      <c r="B19" s="12">
        <f t="shared" si="1"/>
        <v>0</v>
      </c>
      <c r="C19" s="15"/>
    </row>
    <row r="20" spans="1:3" x14ac:dyDescent="0.3">
      <c r="A20" s="12"/>
      <c r="B20" s="12">
        <f t="shared" si="1"/>
        <v>0</v>
      </c>
      <c r="C20" s="15"/>
    </row>
    <row r="21" spans="1:3" x14ac:dyDescent="0.3">
      <c r="A21" s="12"/>
      <c r="B21" s="12">
        <f t="shared" si="1"/>
        <v>0</v>
      </c>
      <c r="C21" s="15"/>
    </row>
    <row r="22" spans="1:3" x14ac:dyDescent="0.3">
      <c r="A22" s="12"/>
      <c r="B22" s="12">
        <f t="shared" si="1"/>
        <v>0</v>
      </c>
      <c r="C22" s="15"/>
    </row>
    <row r="23" spans="1:3" x14ac:dyDescent="0.3">
      <c r="A23" s="12"/>
      <c r="B23" s="12">
        <f t="shared" si="1"/>
        <v>0</v>
      </c>
      <c r="C23" s="15"/>
    </row>
    <row r="24" spans="1:3" x14ac:dyDescent="0.3">
      <c r="A24" s="17"/>
      <c r="B24" s="17"/>
    </row>
  </sheetData>
  <mergeCells count="5">
    <mergeCell ref="A1:I1"/>
    <mergeCell ref="A2:I2"/>
    <mergeCell ref="D3:E3"/>
    <mergeCell ref="F3:G3"/>
    <mergeCell ref="H3:I3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&amp;L&amp;1#&amp;"Calibri"&amp;10&amp;K0000FFClassificação: Interno</oddFooter>
  </headerFooter>
  <ignoredErrors>
    <ignoredError sqref="F4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938A-6D04-4DEF-AA12-C0431AD55E23}">
  <dimension ref="A1:I24"/>
  <sheetViews>
    <sheetView topLeftCell="A10" workbookViewId="0">
      <selection activeCell="A24" sqref="A24:XFD24"/>
    </sheetView>
  </sheetViews>
  <sheetFormatPr defaultRowHeight="14.4" x14ac:dyDescent="0.3"/>
  <cols>
    <col min="1" max="2" width="15.5546875" bestFit="1" customWidth="1"/>
    <col min="3" max="3" width="8" bestFit="1" customWidth="1"/>
    <col min="4" max="5" width="13.88671875" bestFit="1" customWidth="1"/>
    <col min="8" max="8" width="23.44140625" bestFit="1" customWidth="1"/>
  </cols>
  <sheetData>
    <row r="1" spans="1:9" ht="18" x14ac:dyDescent="0.35">
      <c r="A1" s="28" t="s">
        <v>1</v>
      </c>
      <c r="B1" s="28"/>
      <c r="C1" s="28"/>
      <c r="D1" s="28"/>
      <c r="E1" s="28"/>
      <c r="F1" s="28"/>
      <c r="G1" s="28"/>
      <c r="H1" s="28"/>
      <c r="I1" s="28"/>
    </row>
    <row r="2" spans="1:9" x14ac:dyDescent="0.3">
      <c r="A2" s="39">
        <v>4700095773</v>
      </c>
      <c r="B2" s="39"/>
      <c r="C2" s="39"/>
      <c r="D2" s="39"/>
      <c r="E2" s="39"/>
      <c r="F2" s="39"/>
      <c r="G2" s="39"/>
      <c r="H2" s="39"/>
      <c r="I2" s="39"/>
    </row>
    <row r="3" spans="1:9" x14ac:dyDescent="0.3">
      <c r="A3" s="3" t="s">
        <v>7</v>
      </c>
      <c r="B3" s="3" t="s">
        <v>8</v>
      </c>
      <c r="C3" s="4" t="s">
        <v>4</v>
      </c>
      <c r="D3" s="30" t="s">
        <v>5</v>
      </c>
      <c r="E3" s="31"/>
      <c r="F3" s="36" t="s">
        <v>9</v>
      </c>
      <c r="G3" s="36"/>
      <c r="H3" s="37" t="s">
        <v>6</v>
      </c>
      <c r="I3" s="38"/>
    </row>
    <row r="4" spans="1:9" x14ac:dyDescent="0.3">
      <c r="A4" s="5">
        <v>750450</v>
      </c>
      <c r="B4" s="5">
        <f>A4*(1-9.25%)</f>
        <v>681033.375</v>
      </c>
      <c r="C4" s="8">
        <v>4334830</v>
      </c>
      <c r="D4" s="23">
        <v>220000</v>
      </c>
      <c r="E4" s="23">
        <v>199650</v>
      </c>
      <c r="F4" s="25"/>
      <c r="G4" s="25"/>
      <c r="H4" s="27"/>
      <c r="I4" s="27"/>
    </row>
    <row r="5" spans="1:9" x14ac:dyDescent="0.3">
      <c r="A5" s="5">
        <v>2625.81</v>
      </c>
      <c r="B5" s="5">
        <f>A5*(1-9.25%)</f>
        <v>2382.9225750000001</v>
      </c>
      <c r="C5" s="8">
        <v>3563538</v>
      </c>
    </row>
    <row r="6" spans="1:9" x14ac:dyDescent="0.3">
      <c r="A6" s="5">
        <v>14257.06</v>
      </c>
      <c r="B6" s="5">
        <f>A6*(1-9.25%)</f>
        <v>12938.281949999999</v>
      </c>
      <c r="C6" s="8">
        <v>6073640</v>
      </c>
    </row>
    <row r="7" spans="1:9" x14ac:dyDescent="0.3">
      <c r="A7" s="5">
        <v>107.66</v>
      </c>
      <c r="B7" s="5">
        <f>A7*(1-9.25%)</f>
        <v>97.701449999999994</v>
      </c>
      <c r="C7" s="8">
        <v>4635774</v>
      </c>
    </row>
    <row r="8" spans="1:9" x14ac:dyDescent="0.3">
      <c r="A8" s="5"/>
      <c r="B8" s="5">
        <f t="shared" ref="B8:B23" si="0">A8*(1-9.25%)</f>
        <v>0</v>
      </c>
      <c r="C8" s="13"/>
    </row>
    <row r="9" spans="1:9" x14ac:dyDescent="0.3">
      <c r="A9" s="12"/>
      <c r="B9" s="5">
        <f t="shared" si="0"/>
        <v>0</v>
      </c>
      <c r="C9" s="13"/>
    </row>
    <row r="10" spans="1:9" x14ac:dyDescent="0.3">
      <c r="A10" s="12"/>
      <c r="B10" s="5">
        <f t="shared" si="0"/>
        <v>0</v>
      </c>
      <c r="C10" s="13"/>
    </row>
    <row r="11" spans="1:9" x14ac:dyDescent="0.3">
      <c r="A11" s="12"/>
      <c r="B11" s="5">
        <f t="shared" si="0"/>
        <v>0</v>
      </c>
      <c r="C11" s="13"/>
    </row>
    <row r="12" spans="1:9" x14ac:dyDescent="0.3">
      <c r="A12" s="12"/>
      <c r="B12" s="5">
        <f t="shared" si="0"/>
        <v>0</v>
      </c>
      <c r="C12" s="13"/>
    </row>
    <row r="13" spans="1:9" x14ac:dyDescent="0.3">
      <c r="A13" s="12"/>
      <c r="B13" s="5">
        <f t="shared" si="0"/>
        <v>0</v>
      </c>
      <c r="C13" s="13"/>
    </row>
    <row r="14" spans="1:9" x14ac:dyDescent="0.3">
      <c r="A14" s="12"/>
      <c r="B14" s="5">
        <f t="shared" si="0"/>
        <v>0</v>
      </c>
      <c r="C14" s="13"/>
    </row>
    <row r="15" spans="1:9" x14ac:dyDescent="0.3">
      <c r="A15" s="12"/>
      <c r="B15" s="5">
        <f t="shared" si="0"/>
        <v>0</v>
      </c>
      <c r="C15" s="13"/>
    </row>
    <row r="16" spans="1:9" x14ac:dyDescent="0.3">
      <c r="A16" s="12"/>
      <c r="B16" s="5">
        <f t="shared" si="0"/>
        <v>0</v>
      </c>
      <c r="C16" s="13"/>
    </row>
    <row r="17" spans="1:3" x14ac:dyDescent="0.3">
      <c r="A17" s="12"/>
      <c r="B17" s="5">
        <f t="shared" si="0"/>
        <v>0</v>
      </c>
      <c r="C17" s="13"/>
    </row>
    <row r="18" spans="1:3" x14ac:dyDescent="0.3">
      <c r="A18" s="12"/>
      <c r="B18" s="5">
        <f t="shared" si="0"/>
        <v>0</v>
      </c>
      <c r="C18" s="13"/>
    </row>
    <row r="19" spans="1:3" x14ac:dyDescent="0.3">
      <c r="A19" s="12"/>
      <c r="B19" s="5">
        <f t="shared" si="0"/>
        <v>0</v>
      </c>
      <c r="C19" s="13"/>
    </row>
    <row r="20" spans="1:3" x14ac:dyDescent="0.3">
      <c r="A20" s="12"/>
      <c r="B20" s="5">
        <f t="shared" si="0"/>
        <v>0</v>
      </c>
      <c r="C20" s="13"/>
    </row>
    <row r="21" spans="1:3" x14ac:dyDescent="0.3">
      <c r="A21" s="12"/>
      <c r="B21" s="5">
        <f t="shared" si="0"/>
        <v>0</v>
      </c>
      <c r="C21" s="13"/>
    </row>
    <row r="22" spans="1:3" x14ac:dyDescent="0.3">
      <c r="A22" s="12"/>
      <c r="B22" s="5">
        <f t="shared" si="0"/>
        <v>0</v>
      </c>
      <c r="C22" s="13"/>
    </row>
    <row r="23" spans="1:3" x14ac:dyDescent="0.3">
      <c r="A23" s="12"/>
      <c r="B23" s="5">
        <f t="shared" si="0"/>
        <v>0</v>
      </c>
      <c r="C23" s="13"/>
    </row>
    <row r="24" spans="1:3" x14ac:dyDescent="0.3">
      <c r="A24" s="18"/>
      <c r="B24" s="18"/>
      <c r="C24" s="2"/>
    </row>
  </sheetData>
  <mergeCells count="5">
    <mergeCell ref="F3:G3"/>
    <mergeCell ref="H3:I3"/>
    <mergeCell ref="A1:I1"/>
    <mergeCell ref="A2:I2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&amp;L&amp;1#&amp;"Calibri"&amp;10&amp;K0000FFClassificação: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4C52-BFDE-41AF-84D7-BA688A417845}">
  <dimension ref="A1:I24"/>
  <sheetViews>
    <sheetView topLeftCell="A13" workbookViewId="0">
      <selection activeCell="A24" sqref="A24:XFD24"/>
    </sheetView>
  </sheetViews>
  <sheetFormatPr defaultColWidth="15.6640625" defaultRowHeight="14.4" x14ac:dyDescent="0.3"/>
  <cols>
    <col min="1" max="2" width="15.5546875" bestFit="1" customWidth="1"/>
    <col min="3" max="3" width="8" bestFit="1" customWidth="1"/>
    <col min="4" max="4" width="13.88671875" bestFit="1" customWidth="1"/>
    <col min="5" max="5" width="14" customWidth="1"/>
  </cols>
  <sheetData>
    <row r="1" spans="1:9" ht="18" x14ac:dyDescent="0.35">
      <c r="A1" s="28" t="s">
        <v>2</v>
      </c>
      <c r="B1" s="28"/>
      <c r="C1" s="28"/>
      <c r="D1" s="28"/>
      <c r="E1" s="28"/>
      <c r="F1" s="28"/>
      <c r="G1" s="28"/>
      <c r="H1" s="28"/>
      <c r="I1" s="28"/>
    </row>
    <row r="2" spans="1:9" x14ac:dyDescent="0.3">
      <c r="A2" s="40">
        <v>4700096377</v>
      </c>
      <c r="B2" s="40"/>
      <c r="C2" s="40"/>
      <c r="D2" s="40"/>
      <c r="E2" s="40"/>
      <c r="F2" s="40"/>
      <c r="G2" s="40"/>
      <c r="H2" s="40"/>
      <c r="I2" s="40"/>
    </row>
    <row r="3" spans="1:9" x14ac:dyDescent="0.3">
      <c r="A3" s="3" t="s">
        <v>7</v>
      </c>
      <c r="B3" s="3" t="s">
        <v>8</v>
      </c>
      <c r="C3" s="4" t="s">
        <v>4</v>
      </c>
      <c r="D3" s="30" t="s">
        <v>5</v>
      </c>
      <c r="E3" s="31"/>
      <c r="F3" s="36" t="s">
        <v>9</v>
      </c>
      <c r="G3" s="36"/>
      <c r="H3" s="37" t="s">
        <v>6</v>
      </c>
      <c r="I3" s="38"/>
    </row>
    <row r="4" spans="1:9" x14ac:dyDescent="0.3">
      <c r="A4" s="5">
        <v>768731.83</v>
      </c>
      <c r="B4" s="5">
        <f>A4*(1-9.25%)</f>
        <v>697624.13572499994</v>
      </c>
      <c r="C4" s="9">
        <v>5712873</v>
      </c>
      <c r="D4" s="23">
        <v>181268.17</v>
      </c>
      <c r="E4" s="24">
        <v>164500.85999999999</v>
      </c>
      <c r="F4" s="25"/>
      <c r="G4" s="25"/>
      <c r="H4" s="27"/>
      <c r="I4" s="27"/>
    </row>
    <row r="5" spans="1:9" x14ac:dyDescent="0.3">
      <c r="A5" s="5">
        <v>14280.13</v>
      </c>
      <c r="B5" s="5">
        <f t="shared" ref="B5:B23" si="0">A5*(1-9.25%)</f>
        <v>12959.217975</v>
      </c>
      <c r="C5" s="9">
        <v>6079210</v>
      </c>
    </row>
    <row r="6" spans="1:9" x14ac:dyDescent="0.3">
      <c r="A6" s="5">
        <v>112.56</v>
      </c>
      <c r="B6" s="5">
        <f t="shared" si="0"/>
        <v>102.1482</v>
      </c>
      <c r="C6" s="9">
        <v>6071295</v>
      </c>
    </row>
    <row r="7" spans="1:9" x14ac:dyDescent="0.3">
      <c r="A7" s="5">
        <v>2289.7800000000002</v>
      </c>
      <c r="B7" s="5">
        <f t="shared" si="0"/>
        <v>2077.9753500000002</v>
      </c>
      <c r="C7" s="9">
        <v>4907075</v>
      </c>
    </row>
    <row r="8" spans="1:9" x14ac:dyDescent="0.3">
      <c r="A8" s="5"/>
      <c r="B8" s="5">
        <f t="shared" si="0"/>
        <v>0</v>
      </c>
      <c r="C8" s="13"/>
    </row>
    <row r="9" spans="1:9" x14ac:dyDescent="0.3">
      <c r="A9" s="12"/>
      <c r="B9" s="5">
        <f t="shared" si="0"/>
        <v>0</v>
      </c>
      <c r="C9" s="8"/>
    </row>
    <row r="10" spans="1:9" x14ac:dyDescent="0.3">
      <c r="A10" s="12"/>
      <c r="B10" s="5">
        <f t="shared" si="0"/>
        <v>0</v>
      </c>
      <c r="C10" s="8"/>
    </row>
    <row r="11" spans="1:9" x14ac:dyDescent="0.3">
      <c r="A11" s="12"/>
      <c r="B11" s="5">
        <f t="shared" si="0"/>
        <v>0</v>
      </c>
      <c r="C11" s="8"/>
    </row>
    <row r="12" spans="1:9" x14ac:dyDescent="0.3">
      <c r="A12" s="12"/>
      <c r="B12" s="5">
        <f t="shared" si="0"/>
        <v>0</v>
      </c>
      <c r="C12" s="8"/>
    </row>
    <row r="13" spans="1:9" x14ac:dyDescent="0.3">
      <c r="A13" s="12"/>
      <c r="B13" s="5">
        <f t="shared" si="0"/>
        <v>0</v>
      </c>
      <c r="C13" s="8"/>
    </row>
    <row r="14" spans="1:9" x14ac:dyDescent="0.3">
      <c r="A14" s="12"/>
      <c r="B14" s="5">
        <f t="shared" si="0"/>
        <v>0</v>
      </c>
      <c r="C14" s="8"/>
    </row>
    <row r="15" spans="1:9" x14ac:dyDescent="0.3">
      <c r="A15" s="12"/>
      <c r="B15" s="5">
        <f t="shared" si="0"/>
        <v>0</v>
      </c>
      <c r="C15" s="8"/>
    </row>
    <row r="16" spans="1:9" x14ac:dyDescent="0.3">
      <c r="A16" s="12"/>
      <c r="B16" s="5">
        <f t="shared" si="0"/>
        <v>0</v>
      </c>
      <c r="C16" s="8"/>
    </row>
    <row r="17" spans="1:3" x14ac:dyDescent="0.3">
      <c r="A17" s="12"/>
      <c r="B17" s="5">
        <f t="shared" si="0"/>
        <v>0</v>
      </c>
      <c r="C17" s="8"/>
    </row>
    <row r="18" spans="1:3" x14ac:dyDescent="0.3">
      <c r="A18" s="12"/>
      <c r="B18" s="5">
        <f t="shared" si="0"/>
        <v>0</v>
      </c>
      <c r="C18" s="8"/>
    </row>
    <row r="19" spans="1:3" x14ac:dyDescent="0.3">
      <c r="A19" s="12"/>
      <c r="B19" s="5">
        <f t="shared" si="0"/>
        <v>0</v>
      </c>
      <c r="C19" s="8"/>
    </row>
    <row r="20" spans="1:3" x14ac:dyDescent="0.3">
      <c r="A20" s="12"/>
      <c r="B20" s="5">
        <f t="shared" si="0"/>
        <v>0</v>
      </c>
      <c r="C20" s="8"/>
    </row>
    <row r="21" spans="1:3" x14ac:dyDescent="0.3">
      <c r="A21" s="12"/>
      <c r="B21" s="5">
        <f t="shared" si="0"/>
        <v>0</v>
      </c>
      <c r="C21" s="8"/>
    </row>
    <row r="22" spans="1:3" x14ac:dyDescent="0.3">
      <c r="A22" s="12"/>
      <c r="B22" s="5">
        <f t="shared" si="0"/>
        <v>0</v>
      </c>
      <c r="C22" s="8"/>
    </row>
    <row r="23" spans="1:3" x14ac:dyDescent="0.3">
      <c r="A23" s="12"/>
      <c r="B23" s="5">
        <f t="shared" si="0"/>
        <v>0</v>
      </c>
      <c r="C23" s="8"/>
    </row>
    <row r="24" spans="1:3" x14ac:dyDescent="0.3">
      <c r="A24" s="19"/>
      <c r="B24" s="7"/>
      <c r="C24" s="1"/>
    </row>
  </sheetData>
  <mergeCells count="5">
    <mergeCell ref="F3:G3"/>
    <mergeCell ref="H3:I3"/>
    <mergeCell ref="A1:I1"/>
    <mergeCell ref="A2:I2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&amp;L&amp;1#&amp;"Calibri"&amp;10&amp;K0000FFClassificação: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0086-D1B8-49CE-9443-FB6A20DC97BD}">
  <dimension ref="A1:I24"/>
  <sheetViews>
    <sheetView topLeftCell="A4" workbookViewId="0">
      <selection activeCell="A24" sqref="A24:XFD24"/>
    </sheetView>
  </sheetViews>
  <sheetFormatPr defaultColWidth="15.33203125" defaultRowHeight="14.4" x14ac:dyDescent="0.3"/>
  <cols>
    <col min="1" max="2" width="15.5546875" bestFit="1" customWidth="1"/>
    <col min="3" max="3" width="8" bestFit="1" customWidth="1"/>
    <col min="4" max="9" width="13.88671875" bestFit="1" customWidth="1"/>
  </cols>
  <sheetData>
    <row r="1" spans="1:9" ht="18" x14ac:dyDescent="0.35">
      <c r="A1" s="45" t="s">
        <v>3</v>
      </c>
      <c r="B1" s="45"/>
      <c r="C1" s="45"/>
      <c r="D1" s="45"/>
      <c r="E1" s="45"/>
      <c r="F1" s="45"/>
      <c r="G1" s="45"/>
      <c r="H1" s="45"/>
      <c r="I1" s="45"/>
    </row>
    <row r="2" spans="1:9" x14ac:dyDescent="0.3">
      <c r="A2" s="40">
        <v>4700096564</v>
      </c>
      <c r="B2" s="40"/>
      <c r="C2" s="40"/>
      <c r="D2" s="40"/>
      <c r="E2" s="40"/>
      <c r="F2" s="40"/>
      <c r="G2" s="40"/>
      <c r="H2" s="40"/>
      <c r="I2" s="40"/>
    </row>
    <row r="3" spans="1:9" x14ac:dyDescent="0.3">
      <c r="A3" s="3" t="s">
        <v>7</v>
      </c>
      <c r="B3" s="3" t="s">
        <v>8</v>
      </c>
      <c r="C3" s="4" t="s">
        <v>4</v>
      </c>
      <c r="D3" s="46" t="s">
        <v>5</v>
      </c>
      <c r="E3" s="46"/>
      <c r="F3" s="41" t="s">
        <v>10</v>
      </c>
      <c r="G3" s="42"/>
      <c r="H3" s="43" t="s">
        <v>6</v>
      </c>
      <c r="I3" s="44"/>
    </row>
    <row r="4" spans="1:9" x14ac:dyDescent="0.3">
      <c r="A4" s="5">
        <v>3008.38</v>
      </c>
      <c r="B4" s="5">
        <f>A4*(1-9.25%)</f>
        <v>2730.1048500000002</v>
      </c>
      <c r="C4" s="9">
        <v>6348147</v>
      </c>
      <c r="D4" s="21">
        <v>950000</v>
      </c>
      <c r="E4" s="22">
        <v>862125</v>
      </c>
      <c r="F4" s="10">
        <f>SUM(A5:A6)</f>
        <v>808263.10000000009</v>
      </c>
      <c r="G4" s="10">
        <f>F4*(1-9.25%)</f>
        <v>733498.76325000008</v>
      </c>
      <c r="H4" s="26">
        <f>D4-F4</f>
        <v>141736.89999999991</v>
      </c>
      <c r="I4" s="26">
        <f>H4*(1-9.25%)</f>
        <v>128626.23674999991</v>
      </c>
    </row>
    <row r="5" spans="1:9" x14ac:dyDescent="0.3">
      <c r="A5" s="10">
        <v>808148.56</v>
      </c>
      <c r="B5" s="10">
        <f t="shared" ref="B5:B23" si="0">A5*(1-9.25%)</f>
        <v>733394.81819999998</v>
      </c>
      <c r="C5" s="11">
        <v>7468836</v>
      </c>
    </row>
    <row r="6" spans="1:9" x14ac:dyDescent="0.3">
      <c r="A6" s="10">
        <v>114.54</v>
      </c>
      <c r="B6" s="10">
        <f t="shared" si="0"/>
        <v>103.94505000000001</v>
      </c>
      <c r="C6" s="11">
        <v>7417972</v>
      </c>
    </row>
    <row r="7" spans="1:9" x14ac:dyDescent="0.3">
      <c r="A7" s="5"/>
      <c r="B7" s="12">
        <f t="shared" si="0"/>
        <v>0</v>
      </c>
      <c r="C7" s="8"/>
    </row>
    <row r="8" spans="1:9" x14ac:dyDescent="0.3">
      <c r="A8" s="5"/>
      <c r="B8" s="12">
        <f t="shared" si="0"/>
        <v>0</v>
      </c>
      <c r="C8" s="8"/>
    </row>
    <row r="9" spans="1:9" x14ac:dyDescent="0.3">
      <c r="A9" s="5"/>
      <c r="B9" s="12">
        <f t="shared" si="0"/>
        <v>0</v>
      </c>
      <c r="C9" s="8"/>
    </row>
    <row r="10" spans="1:9" x14ac:dyDescent="0.3">
      <c r="A10" s="5"/>
      <c r="B10" s="12">
        <f t="shared" si="0"/>
        <v>0</v>
      </c>
      <c r="C10" s="8"/>
    </row>
    <row r="11" spans="1:9" x14ac:dyDescent="0.3">
      <c r="A11" s="5"/>
      <c r="B11" s="12">
        <f t="shared" si="0"/>
        <v>0</v>
      </c>
      <c r="C11" s="8"/>
    </row>
    <row r="12" spans="1:9" x14ac:dyDescent="0.3">
      <c r="A12" s="5"/>
      <c r="B12" s="12">
        <f t="shared" si="0"/>
        <v>0</v>
      </c>
      <c r="C12" s="8"/>
    </row>
    <row r="13" spans="1:9" x14ac:dyDescent="0.3">
      <c r="A13" s="5"/>
      <c r="B13" s="12">
        <f t="shared" si="0"/>
        <v>0</v>
      </c>
      <c r="C13" s="8"/>
    </row>
    <row r="14" spans="1:9" x14ac:dyDescent="0.3">
      <c r="A14" s="5"/>
      <c r="B14" s="12">
        <f t="shared" si="0"/>
        <v>0</v>
      </c>
      <c r="C14" s="8"/>
    </row>
    <row r="15" spans="1:9" x14ac:dyDescent="0.3">
      <c r="A15" s="5"/>
      <c r="B15" s="12">
        <f t="shared" si="0"/>
        <v>0</v>
      </c>
      <c r="C15" s="8"/>
    </row>
    <row r="16" spans="1:9" x14ac:dyDescent="0.3">
      <c r="A16" s="5"/>
      <c r="B16" s="12">
        <f t="shared" si="0"/>
        <v>0</v>
      </c>
      <c r="C16" s="8"/>
    </row>
    <row r="17" spans="1:3" x14ac:dyDescent="0.3">
      <c r="A17" s="5"/>
      <c r="B17" s="12">
        <f t="shared" si="0"/>
        <v>0</v>
      </c>
      <c r="C17" s="8"/>
    </row>
    <row r="18" spans="1:3" x14ac:dyDescent="0.3">
      <c r="A18" s="5"/>
      <c r="B18" s="12">
        <f t="shared" si="0"/>
        <v>0</v>
      </c>
      <c r="C18" s="8"/>
    </row>
    <row r="19" spans="1:3" x14ac:dyDescent="0.3">
      <c r="A19" s="5"/>
      <c r="B19" s="12">
        <f t="shared" si="0"/>
        <v>0</v>
      </c>
      <c r="C19" s="8"/>
    </row>
    <row r="20" spans="1:3" x14ac:dyDescent="0.3">
      <c r="A20" s="5"/>
      <c r="B20" s="12">
        <f t="shared" si="0"/>
        <v>0</v>
      </c>
      <c r="C20" s="8"/>
    </row>
    <row r="21" spans="1:3" x14ac:dyDescent="0.3">
      <c r="A21" s="5"/>
      <c r="B21" s="12">
        <f t="shared" si="0"/>
        <v>0</v>
      </c>
      <c r="C21" s="8"/>
    </row>
    <row r="22" spans="1:3" x14ac:dyDescent="0.3">
      <c r="A22" s="5"/>
      <c r="B22" s="12">
        <f t="shared" si="0"/>
        <v>0</v>
      </c>
      <c r="C22" s="8"/>
    </row>
    <row r="23" spans="1:3" x14ac:dyDescent="0.3">
      <c r="A23" s="5"/>
      <c r="B23" s="12">
        <f t="shared" si="0"/>
        <v>0</v>
      </c>
      <c r="C23" s="8"/>
    </row>
    <row r="24" spans="1:3" x14ac:dyDescent="0.3">
      <c r="A24" s="20"/>
      <c r="B24" s="20"/>
      <c r="C24" s="1"/>
    </row>
  </sheetData>
  <mergeCells count="5">
    <mergeCell ref="F3:G3"/>
    <mergeCell ref="H3:I3"/>
    <mergeCell ref="A1:I1"/>
    <mergeCell ref="A2:I2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&amp;L&amp;1#&amp;"Calibri"&amp;10&amp;K0000FFClassificação: Interno</oddFooter>
  </headerFooter>
  <ignoredErrors>
    <ignoredError sqref="H4" formula="1"/>
    <ignoredError sqref="F4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850D-FFE2-4190-AEAF-F981C8C85CAA}">
  <dimension ref="A1:R10"/>
  <sheetViews>
    <sheetView tabSelected="1" workbookViewId="0">
      <selection activeCell="A2" sqref="A2:I10"/>
    </sheetView>
  </sheetViews>
  <sheetFormatPr defaultRowHeight="14.4" x14ac:dyDescent="0.3"/>
  <sheetData>
    <row r="1" spans="1:18" ht="21" x14ac:dyDescent="0.4">
      <c r="A1" s="49" t="s">
        <v>11</v>
      </c>
      <c r="B1" s="49"/>
      <c r="C1" s="49"/>
      <c r="D1" s="49"/>
      <c r="E1" s="49"/>
      <c r="F1" s="49"/>
      <c r="G1" s="49"/>
      <c r="H1" s="49"/>
      <c r="I1" s="49"/>
      <c r="J1" s="49" t="s">
        <v>12</v>
      </c>
      <c r="K1" s="49"/>
      <c r="L1" s="49"/>
      <c r="M1" s="49"/>
      <c r="N1" s="49"/>
      <c r="O1" s="49"/>
      <c r="P1" s="49"/>
      <c r="Q1" s="49"/>
      <c r="R1" s="49"/>
    </row>
    <row r="2" spans="1:18" x14ac:dyDescent="0.3">
      <c r="A2" s="47">
        <f>SUM(JUNHO!D4,JULHO!D4,AGOSTO!D4,SETEMBRO!D4)</f>
        <v>1491268.17</v>
      </c>
      <c r="B2" s="48"/>
      <c r="C2" s="48"/>
      <c r="D2" s="48"/>
      <c r="E2" s="48"/>
      <c r="F2" s="48"/>
      <c r="G2" s="48"/>
      <c r="H2" s="48"/>
      <c r="I2" s="48"/>
      <c r="J2" s="47">
        <f>SUM(JUNHO!H4,JULHO!D4,AGOSTO!D4,SETEMBRO!H4)</f>
        <v>666259.07999999996</v>
      </c>
      <c r="K2" s="48"/>
      <c r="L2" s="48"/>
      <c r="M2" s="48"/>
      <c r="N2" s="48"/>
      <c r="O2" s="48"/>
      <c r="P2" s="48"/>
      <c r="Q2" s="48"/>
      <c r="R2" s="48"/>
    </row>
    <row r="3" spans="1:18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 spans="1:18" x14ac:dyDescent="0.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spans="1:18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 spans="1:18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</row>
    <row r="7" spans="1:18" x14ac:dyDescent="0.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</row>
    <row r="8" spans="1:18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</row>
    <row r="9" spans="1:18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1:18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</row>
  </sheetData>
  <mergeCells count="4">
    <mergeCell ref="A2:I10"/>
    <mergeCell ref="A1:I1"/>
    <mergeCell ref="J2:R10"/>
    <mergeCell ref="J1:R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&amp;L&amp;1#&amp;"Calibri"&amp;10&amp;K0000FFClassificação: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JUNHO</vt:lpstr>
      <vt:lpstr>JULHO</vt:lpstr>
      <vt:lpstr>AGOSTO</vt:lpstr>
      <vt:lpstr>SETEMBRO</vt:lpstr>
      <vt:lpstr>TOTAL</vt:lpstr>
    </vt:vector>
  </TitlesOfParts>
  <Company>Inframerica Concessionaria do Aeroporto de Brasilia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 Lucena Moreira</dc:creator>
  <cp:lastModifiedBy>Lucas de Lucena Moreira</cp:lastModifiedBy>
  <dcterms:created xsi:type="dcterms:W3CDTF">2026-10-09T14:36:45Z</dcterms:created>
  <dcterms:modified xsi:type="dcterms:W3CDTF">2026-10-09T17:51:14Z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e91d78-7917-4363-ab1c-db5ec6b00de2_Enabled">
    <vt:lpwstr>true</vt:lpwstr>
  </property>
  <property fmtid="{D5CDD505-2E9C-101B-9397-08002B2CF9AE}" pid="3" name="MSIP_Label_32e91d78-7917-4363-ab1c-db5ec6b00de2_SetDate">
    <vt:lpwstr>2026-10-09T17:51:14Z</vt:lpwstr>
  </property>
  <property fmtid="{D5CDD505-2E9C-101B-9397-08002B2CF9AE}" pid="4" name="MSIP_Label_32e91d78-7917-4363-ab1c-db5ec6b00de2_Method">
    <vt:lpwstr>Privileged</vt:lpwstr>
  </property>
  <property fmtid="{D5CDD505-2E9C-101B-9397-08002B2CF9AE}" pid="5" name="MSIP_Label_32e91d78-7917-4363-ab1c-db5ec6b00de2_Name">
    <vt:lpwstr>Interno(a)</vt:lpwstr>
  </property>
  <property fmtid="{D5CDD505-2E9C-101B-9397-08002B2CF9AE}" pid="6" name="MSIP_Label_32e91d78-7917-4363-ab1c-db5ec6b00de2_SiteId">
    <vt:lpwstr>7165ff6b-73d2-4fbd-b37e-8a82bab5b63a</vt:lpwstr>
  </property>
  <property fmtid="{D5CDD505-2E9C-101B-9397-08002B2CF9AE}" pid="7" name="MSIP_Label_32e91d78-7917-4363-ab1c-db5ec6b00de2_ActionId">
    <vt:lpwstr>c52a1142-7f59-4a72-b1e2-43f40480e8bf</vt:lpwstr>
  </property>
  <property fmtid="{D5CDD505-2E9C-101B-9397-08002B2CF9AE}" pid="8" name="MSIP_Label_32e91d78-7917-4363-ab1c-db5ec6b00de2_ContentBits">
    <vt:lpwstr>2</vt:lpwstr>
  </property>
</Properties>
</file>